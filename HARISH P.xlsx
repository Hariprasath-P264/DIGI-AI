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0B089AD1-B6B1-4AC0-83ED-BBE90EA54C9D}" xr6:coauthVersionLast="47" xr6:coauthVersionMax="47" xr10:uidLastSave="{00000000-0000-0000-0000-000000000000}"/>
  <bookViews>
    <workbookView xWindow="-108" yWindow="-108" windowWidth="23256" windowHeight="12456" xr2:uid="{9F9C0FBA-D044-466B-BB90-63F130C9DB96}"/>
  </bookViews>
  <sheets>
    <sheet name="Sheet2" sheetId="2" r:id="rId1"/>
    <sheet name="Sheet1" sheetId="1" r:id="rId2"/>
  </sheets>
  <definedNames>
    <definedName name="Slicer_Department">#N/A</definedName>
  </definedNames>
  <calcPr calcId="191029"/>
  <pivotCaches>
    <pivotCache cacheId="3"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 i="1"/>
</calcChain>
</file>

<file path=xl/sharedStrings.xml><?xml version="1.0" encoding="utf-8"?>
<sst xmlns="http://schemas.openxmlformats.org/spreadsheetml/2006/main" count="107" uniqueCount="46">
  <si>
    <t>S.No</t>
  </si>
  <si>
    <t>Student Name</t>
  </si>
  <si>
    <t>Department</t>
  </si>
  <si>
    <t>Engineering Maths</t>
  </si>
  <si>
    <t>Python Programming</t>
  </si>
  <si>
    <t>Physics</t>
  </si>
  <si>
    <t>English</t>
  </si>
  <si>
    <t>Engineering Graphics</t>
  </si>
  <si>
    <t>Total</t>
  </si>
  <si>
    <t>Percentage</t>
  </si>
  <si>
    <t>Grade</t>
  </si>
  <si>
    <t>Arun Kumar</t>
  </si>
  <si>
    <t>AI &amp; DS</t>
  </si>
  <si>
    <t>A+</t>
  </si>
  <si>
    <t>Bharath</t>
  </si>
  <si>
    <t>CSE</t>
  </si>
  <si>
    <t>Dinesh</t>
  </si>
  <si>
    <t>ECE</t>
  </si>
  <si>
    <t>Gokul</t>
  </si>
  <si>
    <t>IT</t>
  </si>
  <si>
    <t>A</t>
  </si>
  <si>
    <t>Hariharan</t>
  </si>
  <si>
    <t>Karthik</t>
  </si>
  <si>
    <t>Lokesh</t>
  </si>
  <si>
    <t>O</t>
  </si>
  <si>
    <t>Manoj</t>
  </si>
  <si>
    <t>Naveen</t>
  </si>
  <si>
    <t>Pradeep</t>
  </si>
  <si>
    <t>Rahul</t>
  </si>
  <si>
    <t>Rohit</t>
  </si>
  <si>
    <t>Santhosh</t>
  </si>
  <si>
    <t>Sathish</t>
  </si>
  <si>
    <t>Surya</t>
  </si>
  <si>
    <t>Vignesh</t>
  </si>
  <si>
    <t>Vishal</t>
  </si>
  <si>
    <t>Ajay</t>
  </si>
  <si>
    <t>Ashwin</t>
  </si>
  <si>
    <t>Balaji</t>
  </si>
  <si>
    <t>AVERAGE</t>
  </si>
  <si>
    <t>Row Labels</t>
  </si>
  <si>
    <t>Grand Total</t>
  </si>
  <si>
    <t>Sum of Engineering Maths</t>
  </si>
  <si>
    <t>Sum of Python Programming</t>
  </si>
  <si>
    <t>Sum of Physics</t>
  </si>
  <si>
    <t>Sum of English</t>
  </si>
  <si>
    <t>Sum of Engineering Graphics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</si>
</sst>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0"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 P.xlsx]Sheet2!PivotTable1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MATHS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AI &amp; DS</c:v>
                </c:pt>
                <c:pt idx="1">
                  <c:v>CSE</c:v>
                </c:pt>
                <c:pt idx="2">
                  <c:v>ECE</c:v>
                </c:pt>
                <c:pt idx="3">
                  <c:v>IT</c:v>
                </c:pt>
              </c:strCache>
            </c:strRef>
          </c:cat>
          <c:val>
            <c:numRef>
              <c:f>Sheet2!$B$4:$B$8</c:f>
              <c:numCache>
                <c:formatCode>General</c:formatCode>
                <c:ptCount val="4"/>
                <c:pt idx="0">
                  <c:v>429</c:v>
                </c:pt>
                <c:pt idx="1">
                  <c:v>368</c:v>
                </c:pt>
                <c:pt idx="2">
                  <c:v>462</c:v>
                </c:pt>
                <c:pt idx="3">
                  <c:v>354</c:v>
                </c:pt>
              </c:numCache>
            </c:numRef>
          </c:val>
          <c:extLst>
            <c:ext xmlns:c16="http://schemas.microsoft.com/office/drawing/2014/chart" uri="{C3380CC4-5D6E-409C-BE32-E72D297353CC}">
              <c16:uniqueId val="{00000000-96EA-4C5C-A141-C8E65887A607}"/>
            </c:ext>
          </c:extLst>
        </c:ser>
        <c:dLbls>
          <c:showLegendKey val="0"/>
          <c:showVal val="0"/>
          <c:showCatName val="0"/>
          <c:showSerName val="0"/>
          <c:showPercent val="0"/>
          <c:showBubbleSize val="0"/>
        </c:dLbls>
        <c:gapWidth val="219"/>
        <c:overlap val="-27"/>
        <c:axId val="1444998928"/>
        <c:axId val="1012048352"/>
      </c:barChart>
      <c:catAx>
        <c:axId val="144499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048352"/>
        <c:crosses val="autoZero"/>
        <c:auto val="1"/>
        <c:lblAlgn val="ctr"/>
        <c:lblOffset val="100"/>
        <c:noMultiLvlLbl val="0"/>
      </c:catAx>
      <c:valAx>
        <c:axId val="101204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99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 P.xlsx]Sheet2!PivotTable2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PYTHON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Sheet2!$E$3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Sheet2!$D$4:$D$8</c:f>
              <c:strCache>
                <c:ptCount val="4"/>
                <c:pt idx="0">
                  <c:v>AI &amp; DS</c:v>
                </c:pt>
                <c:pt idx="1">
                  <c:v>CSE</c:v>
                </c:pt>
                <c:pt idx="2">
                  <c:v>ECE</c:v>
                </c:pt>
                <c:pt idx="3">
                  <c:v>IT</c:v>
                </c:pt>
              </c:strCache>
            </c:strRef>
          </c:cat>
          <c:val>
            <c:numRef>
              <c:f>Sheet2!$E$4:$E$8</c:f>
              <c:numCache>
                <c:formatCode>General</c:formatCode>
                <c:ptCount val="4"/>
                <c:pt idx="0">
                  <c:v>429</c:v>
                </c:pt>
                <c:pt idx="1">
                  <c:v>374</c:v>
                </c:pt>
                <c:pt idx="2">
                  <c:v>448</c:v>
                </c:pt>
                <c:pt idx="3">
                  <c:v>373</c:v>
                </c:pt>
              </c:numCache>
            </c:numRef>
          </c:val>
          <c:extLst>
            <c:ext xmlns:c16="http://schemas.microsoft.com/office/drawing/2014/chart" uri="{C3380CC4-5D6E-409C-BE32-E72D297353CC}">
              <c16:uniqueId val="{00000000-1AEE-42CE-9EDC-7D0DC1415A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 P.xlsx]Sheet2!PivotTable3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PHYSICS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882589676290464"/>
          <c:y val="0.33682669874599008"/>
          <c:w val="0.39790398075240596"/>
          <c:h val="0.66317330125400986"/>
        </c:manualLayout>
      </c:layout>
      <c:pieChart>
        <c:varyColors val="1"/>
        <c:ser>
          <c:idx val="0"/>
          <c:order val="0"/>
          <c:tx>
            <c:strRef>
              <c:f>Sheet2!$I$3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Sheet2!$H$4:$H$8</c:f>
              <c:strCache>
                <c:ptCount val="4"/>
                <c:pt idx="0">
                  <c:v>AI &amp; DS</c:v>
                </c:pt>
                <c:pt idx="1">
                  <c:v>CSE</c:v>
                </c:pt>
                <c:pt idx="2">
                  <c:v>ECE</c:v>
                </c:pt>
                <c:pt idx="3">
                  <c:v>IT</c:v>
                </c:pt>
              </c:strCache>
            </c:strRef>
          </c:cat>
          <c:val>
            <c:numRef>
              <c:f>Sheet2!$I$4:$I$8</c:f>
              <c:numCache>
                <c:formatCode>General</c:formatCode>
                <c:ptCount val="4"/>
                <c:pt idx="0">
                  <c:v>430</c:v>
                </c:pt>
                <c:pt idx="1">
                  <c:v>389</c:v>
                </c:pt>
                <c:pt idx="2">
                  <c:v>446</c:v>
                </c:pt>
                <c:pt idx="3">
                  <c:v>391</c:v>
                </c:pt>
              </c:numCache>
            </c:numRef>
          </c:val>
          <c:extLst>
            <c:ext xmlns:c16="http://schemas.microsoft.com/office/drawing/2014/chart" uri="{C3380CC4-5D6E-409C-BE32-E72D297353CC}">
              <c16:uniqueId val="{00000000-82E7-41E2-9AF0-2AB3D4D8FB4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 P.xlsx]Sheet2!PivotTable5</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SG"/>
              <a:t>ENGLISH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ofPieChart>
        <c:ofPieType val="pie"/>
        <c:varyColors val="1"/>
        <c:ser>
          <c:idx val="0"/>
          <c:order val="0"/>
          <c:tx>
            <c:strRef>
              <c:f>Sheet2!$C$11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Sheet2!$B$12:$B$16</c:f>
              <c:strCache>
                <c:ptCount val="4"/>
                <c:pt idx="0">
                  <c:v>AI &amp; DS</c:v>
                </c:pt>
                <c:pt idx="1">
                  <c:v>CSE</c:v>
                </c:pt>
                <c:pt idx="2">
                  <c:v>ECE</c:v>
                </c:pt>
                <c:pt idx="3">
                  <c:v>IT</c:v>
                </c:pt>
              </c:strCache>
            </c:strRef>
          </c:cat>
          <c:val>
            <c:numRef>
              <c:f>Sheet2!$C$12:$C$16</c:f>
              <c:numCache>
                <c:formatCode>General</c:formatCode>
                <c:ptCount val="4"/>
                <c:pt idx="0">
                  <c:v>425</c:v>
                </c:pt>
                <c:pt idx="1">
                  <c:v>414</c:v>
                </c:pt>
                <c:pt idx="2">
                  <c:v>432</c:v>
                </c:pt>
                <c:pt idx="3">
                  <c:v>367</c:v>
                </c:pt>
              </c:numCache>
            </c:numRef>
          </c:val>
          <c:extLst>
            <c:ext xmlns:c16="http://schemas.microsoft.com/office/drawing/2014/chart" uri="{C3380CC4-5D6E-409C-BE32-E72D297353CC}">
              <c16:uniqueId val="{00000000-954C-4914-BA61-29A500CFF397}"/>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dk1">
                  <a:lumMod val="35000"/>
                  <a:lumOff val="65000"/>
                </a:schemeClr>
              </a:solidFill>
              <a:round/>
            </a:ln>
            <a:effectLst/>
          </c:spPr>
        </c:serLines>
      </c:of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[HARISH P.xlsx]Sheet2!PivotTable4</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GRAPHICS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Sheet2!$M$3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Sheet2!$L$4:$L$8</c:f>
              <c:strCache>
                <c:ptCount val="4"/>
                <c:pt idx="0">
                  <c:v>AI &amp; DS</c:v>
                </c:pt>
                <c:pt idx="1">
                  <c:v>CSE</c:v>
                </c:pt>
                <c:pt idx="2">
                  <c:v>ECE</c:v>
                </c:pt>
                <c:pt idx="3">
                  <c:v>IT</c:v>
                </c:pt>
              </c:strCache>
            </c:strRef>
          </c:cat>
          <c:val>
            <c:numRef>
              <c:f>Sheet2!$M$4:$M$8</c:f>
              <c:numCache>
                <c:formatCode>General</c:formatCode>
                <c:ptCount val="4"/>
                <c:pt idx="0">
                  <c:v>431</c:v>
                </c:pt>
                <c:pt idx="1">
                  <c:v>401</c:v>
                </c:pt>
                <c:pt idx="2">
                  <c:v>443</c:v>
                </c:pt>
                <c:pt idx="3">
                  <c:v>380</c:v>
                </c:pt>
              </c:numCache>
            </c:numRef>
          </c:val>
          <c:extLst>
            <c:ext xmlns:c16="http://schemas.microsoft.com/office/drawing/2014/chart" uri="{C3380CC4-5D6E-409C-BE32-E72D297353CC}">
              <c16:uniqueId val="{00000000-2621-44F3-8559-EE17B36CF04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91440</xdr:colOff>
      <xdr:row>17</xdr:row>
      <xdr:rowOff>80010</xdr:rowOff>
    </xdr:from>
    <xdr:to>
      <xdr:col>4</xdr:col>
      <xdr:colOff>411480</xdr:colOff>
      <xdr:row>32</xdr:row>
      <xdr:rowOff>80010</xdr:rowOff>
    </xdr:to>
    <xdr:graphicFrame macro="">
      <xdr:nvGraphicFramePr>
        <xdr:cNvPr id="2" name="Chart 1">
          <a:extLst>
            <a:ext uri="{FF2B5EF4-FFF2-40B4-BE49-F238E27FC236}">
              <a16:creationId xmlns:a16="http://schemas.microsoft.com/office/drawing/2014/main" id="{18192878-67C7-48AA-8B16-68E0BAFCE4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815340</xdr:colOff>
      <xdr:row>16</xdr:row>
      <xdr:rowOff>148590</xdr:rowOff>
    </xdr:from>
    <xdr:to>
      <xdr:col>9</xdr:col>
      <xdr:colOff>594360</xdr:colOff>
      <xdr:row>31</xdr:row>
      <xdr:rowOff>148590</xdr:rowOff>
    </xdr:to>
    <xdr:graphicFrame macro="">
      <xdr:nvGraphicFramePr>
        <xdr:cNvPr id="3" name="Chart 2">
          <a:extLst>
            <a:ext uri="{FF2B5EF4-FFF2-40B4-BE49-F238E27FC236}">
              <a16:creationId xmlns:a16="http://schemas.microsoft.com/office/drawing/2014/main" id="{904CCDAD-6D32-4A1B-A719-0792C3DED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281940</xdr:colOff>
      <xdr:row>34</xdr:row>
      <xdr:rowOff>41910</xdr:rowOff>
    </xdr:from>
    <xdr:to>
      <xdr:col>4</xdr:col>
      <xdr:colOff>601980</xdr:colOff>
      <xdr:row>49</xdr:row>
      <xdr:rowOff>41910</xdr:rowOff>
    </xdr:to>
    <xdr:graphicFrame macro="">
      <xdr:nvGraphicFramePr>
        <xdr:cNvPr id="4" name="Chart 3">
          <a:extLst>
            <a:ext uri="{FF2B5EF4-FFF2-40B4-BE49-F238E27FC236}">
              <a16:creationId xmlns:a16="http://schemas.microsoft.com/office/drawing/2014/main" id="{055C9E21-D739-4AF4-BBC9-F55E12763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792480</xdr:colOff>
      <xdr:row>33</xdr:row>
      <xdr:rowOff>110490</xdr:rowOff>
    </xdr:from>
    <xdr:to>
      <xdr:col>9</xdr:col>
      <xdr:colOff>571500</xdr:colOff>
      <xdr:row>48</xdr:row>
      <xdr:rowOff>110490</xdr:rowOff>
    </xdr:to>
    <xdr:graphicFrame macro="">
      <xdr:nvGraphicFramePr>
        <xdr:cNvPr id="6" name="Chart 5">
          <a:extLst>
            <a:ext uri="{FF2B5EF4-FFF2-40B4-BE49-F238E27FC236}">
              <a16:creationId xmlns:a16="http://schemas.microsoft.com/office/drawing/2014/main" id="{2610D3B2-BE8C-484B-A65D-9087F70E8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441960</xdr:colOff>
      <xdr:row>50</xdr:row>
      <xdr:rowOff>140970</xdr:rowOff>
    </xdr:from>
    <xdr:to>
      <xdr:col>8</xdr:col>
      <xdr:colOff>297180</xdr:colOff>
      <xdr:row>65</xdr:row>
      <xdr:rowOff>140970</xdr:rowOff>
    </xdr:to>
    <xdr:graphicFrame macro="">
      <xdr:nvGraphicFramePr>
        <xdr:cNvPr id="7" name="Chart 6">
          <a:extLst>
            <a:ext uri="{FF2B5EF4-FFF2-40B4-BE49-F238E27FC236}">
              <a16:creationId xmlns:a16="http://schemas.microsoft.com/office/drawing/2014/main" id="{6E1C8114-BBF8-42EF-AEE4-20681C2E2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7620</xdr:colOff>
      <xdr:row>47</xdr:row>
      <xdr:rowOff>45720</xdr:rowOff>
    </xdr:from>
    <xdr:to>
      <xdr:col>12</xdr:col>
      <xdr:colOff>467360</xdr:colOff>
      <xdr:row>60</xdr:row>
      <xdr:rowOff>135255</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628081BB-ACD5-44A5-B742-ED96AF69415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910820" y="8800253"/>
              <a:ext cx="1831340" cy="2511002"/>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594360</xdr:colOff>
      <xdr:row>1</xdr:row>
      <xdr:rowOff>91440</xdr:rowOff>
    </xdr:from>
    <xdr:to>
      <xdr:col>15</xdr:col>
      <xdr:colOff>594360</xdr:colOff>
      <xdr:row>14</xdr:row>
      <xdr:rowOff>59055</xdr:rowOff>
    </xdr:to>
    <mc:AlternateContent xmlns:mc="http://schemas.openxmlformats.org/markup-compatibility/2006">
      <mc:Choice xmlns:a14="http://schemas.microsoft.com/office/drawing/2010/main" Requires="a14">
        <xdr:graphicFrame macro="">
          <xdr:nvGraphicFramePr>
            <xdr:cNvPr id="2" name="Department 1">
              <a:extLst>
                <a:ext uri="{FF2B5EF4-FFF2-40B4-BE49-F238E27FC236}">
                  <a16:creationId xmlns:a16="http://schemas.microsoft.com/office/drawing/2014/main" id="{4D6C1079-5D08-4E5D-A8AF-8763DA9640C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7909560" y="274320"/>
              <a:ext cx="1828800" cy="234505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6.872339467591" createdVersion="7" refreshedVersion="7" minRefreshableVersion="3" recordCount="20" xr:uid="{1017B54E-605D-4DF9-9412-60F454627C77}">
  <cacheSource type="worksheet">
    <worksheetSource ref="A1:L21" sheet="Sheet1"/>
  </cacheSource>
  <cacheFields count="12">
    <cacheField name="S.No" numFmtId="0">
      <sharedItems containsSemiMixedTypes="0" containsString="0" containsNumber="1" containsInteger="1" minValue="1" maxValue="20"/>
    </cacheField>
    <cacheField name="Student Name" numFmtId="0">
      <sharedItems/>
    </cacheField>
    <cacheField name="Department" numFmtId="0">
      <sharedItems count="4">
        <s v="AI &amp; DS"/>
        <s v="CSE"/>
        <s v="ECE"/>
        <s v="IT"/>
      </sharedItems>
    </cacheField>
    <cacheField name="Engineering Maths" numFmtId="0">
      <sharedItems containsSemiMixedTypes="0" containsString="0" containsNumber="1" containsInteger="1" minValue="65" maxValue="95"/>
    </cacheField>
    <cacheField name="Python Programming" numFmtId="0">
      <sharedItems containsSemiMixedTypes="0" containsString="0" containsNumber="1" containsInteger="1" minValue="68" maxValue="93"/>
    </cacheField>
    <cacheField name="Physics" numFmtId="0">
      <sharedItems containsSemiMixedTypes="0" containsString="0" containsNumber="1" containsInteger="1" minValue="68" maxValue="94"/>
    </cacheField>
    <cacheField name="English" numFmtId="0">
      <sharedItems containsSemiMixedTypes="0" containsString="0" containsNumber="1" containsInteger="1" minValue="69" maxValue="94"/>
    </cacheField>
    <cacheField name="Engineering Graphics" numFmtId="0">
      <sharedItems containsSemiMixedTypes="0" containsString="0" containsNumber="1" containsInteger="1" minValue="70" maxValue="92"/>
    </cacheField>
    <cacheField name="Total" numFmtId="0">
      <sharedItems containsSemiMixedTypes="0" containsString="0" containsNumber="1" containsInteger="1" minValue="352" maxValue="456"/>
    </cacheField>
    <cacheField name="Percentage" numFmtId="10">
      <sharedItems containsSemiMixedTypes="0" containsString="0" containsNumber="1" minValue="0.70399999999999996" maxValue="0.91200000000000003"/>
    </cacheField>
    <cacheField name="Grade" numFmtId="0">
      <sharedItems/>
    </cacheField>
    <cacheField name="AVERAGE" numFmtId="0">
      <sharedItems containsSemiMixedTypes="0" containsString="0" containsNumber="1" minValue="70.400000000000006" maxValue="91.2"/>
    </cacheField>
  </cacheFields>
  <extLst>
    <ext xmlns:x14="http://schemas.microsoft.com/office/spreadsheetml/2009/9/main" uri="{725AE2AE-9491-48be-B2B4-4EB974FC3084}">
      <x14:pivotCacheDefinition pivotCacheId="1929082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s v="Arun Kumar"/>
    <x v="0"/>
    <n v="85"/>
    <n v="78"/>
    <n v="92"/>
    <n v="81"/>
    <n v="88"/>
    <n v="416"/>
    <n v="0.84799999999999998"/>
    <s v="A+"/>
    <n v="84.8"/>
  </r>
  <r>
    <n v="2"/>
    <s v="Bharath"/>
    <x v="1"/>
    <n v="76"/>
    <n v="82"/>
    <n v="79"/>
    <n v="88"/>
    <n v="91"/>
    <n v="416"/>
    <n v="0.83199999999999996"/>
    <s v="A+"/>
    <n v="83.2"/>
  </r>
  <r>
    <n v="3"/>
    <s v="Dinesh"/>
    <x v="2"/>
    <n v="90"/>
    <n v="87"/>
    <n v="84"/>
    <n v="76"/>
    <n v="89"/>
    <n v="426"/>
    <n v="0.85199999999999998"/>
    <s v="A+"/>
    <n v="85.2"/>
  </r>
  <r>
    <n v="4"/>
    <s v="Gokul"/>
    <x v="3"/>
    <n v="68"/>
    <n v="74"/>
    <n v="81"/>
    <n v="77"/>
    <n v="70"/>
    <n v="370"/>
    <n v="0.74"/>
    <s v="A"/>
    <n v="74"/>
  </r>
  <r>
    <n v="5"/>
    <s v="Hariharan"/>
    <x v="0"/>
    <n v="88"/>
    <n v="91"/>
    <n v="85"/>
    <n v="79"/>
    <n v="86"/>
    <n v="429"/>
    <n v="0.85799999999999998"/>
    <s v="A+"/>
    <n v="85.8"/>
  </r>
  <r>
    <n v="6"/>
    <s v="Karthik"/>
    <x v="1"/>
    <n v="72"/>
    <n v="80"/>
    <n v="76"/>
    <n v="85"/>
    <n v="78"/>
    <n v="391"/>
    <n v="0.78200000000000003"/>
    <s v="A"/>
    <n v="78.2"/>
  </r>
  <r>
    <n v="7"/>
    <s v="Lokesh"/>
    <x v="2"/>
    <n v="94"/>
    <n v="89"/>
    <n v="91"/>
    <n v="87"/>
    <n v="90"/>
    <n v="451"/>
    <n v="0.90200000000000002"/>
    <s v="O"/>
    <n v="90.2"/>
  </r>
  <r>
    <n v="8"/>
    <s v="Manoj"/>
    <x v="3"/>
    <n v="65"/>
    <n v="71"/>
    <n v="68"/>
    <n v="75"/>
    <n v="73"/>
    <n v="352"/>
    <n v="0.70399999999999996"/>
    <s v="A"/>
    <n v="70.400000000000006"/>
  </r>
  <r>
    <n v="9"/>
    <s v="Naveen"/>
    <x v="0"/>
    <n v="82"/>
    <n v="86"/>
    <n v="79"/>
    <n v="91"/>
    <n v="84"/>
    <n v="422"/>
    <n v="0.84399999999999997"/>
    <s v="A+"/>
    <n v="84.4"/>
  </r>
  <r>
    <n v="10"/>
    <s v="Pradeep"/>
    <x v="1"/>
    <n v="77"/>
    <n v="69"/>
    <n v="83"/>
    <n v="80"/>
    <n v="75"/>
    <n v="384"/>
    <n v="0.76800000000000002"/>
    <s v="A"/>
    <n v="76.8"/>
  </r>
  <r>
    <n v="11"/>
    <s v="Rahul"/>
    <x v="2"/>
    <n v="91"/>
    <n v="93"/>
    <n v="88"/>
    <n v="85"/>
    <n v="92"/>
    <n v="449"/>
    <n v="0.89800000000000002"/>
    <s v="A+"/>
    <n v="89.8"/>
  </r>
  <r>
    <n v="12"/>
    <s v="Rohit"/>
    <x v="3"/>
    <n v="73"/>
    <n v="78"/>
    <n v="81"/>
    <n v="72"/>
    <n v="79"/>
    <n v="383"/>
    <n v="0.76600000000000001"/>
    <s v="A"/>
    <n v="76.599999999999994"/>
  </r>
  <r>
    <n v="13"/>
    <s v="Santhosh"/>
    <x v="0"/>
    <n v="86"/>
    <n v="84"/>
    <n v="90"/>
    <n v="88"/>
    <n v="82"/>
    <n v="430"/>
    <n v="0.86"/>
    <s v="A+"/>
    <n v="86"/>
  </r>
  <r>
    <n v="14"/>
    <s v="Sathish"/>
    <x v="1"/>
    <n v="69"/>
    <n v="75"/>
    <n v="72"/>
    <n v="78"/>
    <n v="81"/>
    <n v="375"/>
    <n v="0.75"/>
    <s v="A"/>
    <n v="75"/>
  </r>
  <r>
    <n v="15"/>
    <s v="Surya"/>
    <x v="2"/>
    <n v="95"/>
    <n v="91"/>
    <n v="89"/>
    <n v="94"/>
    <n v="87"/>
    <n v="456"/>
    <n v="0.91200000000000003"/>
    <s v="O"/>
    <n v="91.2"/>
  </r>
  <r>
    <n v="16"/>
    <s v="Vignesh"/>
    <x v="3"/>
    <n v="81"/>
    <n v="77"/>
    <n v="85"/>
    <n v="74"/>
    <n v="80"/>
    <n v="397"/>
    <n v="0.79400000000000004"/>
    <s v="A"/>
    <n v="79.400000000000006"/>
  </r>
  <r>
    <n v="17"/>
    <s v="Vishal"/>
    <x v="0"/>
    <n v="88"/>
    <n v="90"/>
    <n v="84"/>
    <n v="86"/>
    <n v="91"/>
    <n v="439"/>
    <n v="0.878"/>
    <s v="A+"/>
    <n v="87.8"/>
  </r>
  <r>
    <n v="18"/>
    <s v="Ajay"/>
    <x v="1"/>
    <n v="74"/>
    <n v="68"/>
    <n v="79"/>
    <n v="83"/>
    <n v="76"/>
    <n v="380"/>
    <n v="0.76"/>
    <s v="A"/>
    <n v="76"/>
  </r>
  <r>
    <n v="19"/>
    <s v="Ashwin"/>
    <x v="2"/>
    <n v="92"/>
    <n v="88"/>
    <n v="94"/>
    <n v="90"/>
    <n v="85"/>
    <n v="449"/>
    <n v="0.89800000000000002"/>
    <s v="A+"/>
    <n v="89.8"/>
  </r>
  <r>
    <n v="20"/>
    <s v="Balaji"/>
    <x v="3"/>
    <n v="67"/>
    <n v="73"/>
    <n v="76"/>
    <n v="69"/>
    <n v="78"/>
    <n v="363"/>
    <n v="0.72599999999999998"/>
    <s v="A"/>
    <n v="72.599999999999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E89378-3E93-40B7-844D-B5CB8923F5A6}" name="PivotTable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B11:C16" firstHeaderRow="1" firstDataRow="1" firstDataCol="1"/>
  <pivotFields count="12">
    <pivotField showAll="0"/>
    <pivotField showAll="0"/>
    <pivotField axis="axisRow" showAll="0">
      <items count="5">
        <item x="0"/>
        <item x="1"/>
        <item x="2"/>
        <item x="3"/>
        <item t="default"/>
      </items>
    </pivotField>
    <pivotField showAll="0"/>
    <pivotField showAll="0"/>
    <pivotField showAll="0"/>
    <pivotField dataField="1" showAll="0"/>
    <pivotField showAll="0"/>
    <pivotField showAll="0"/>
    <pivotField numFmtId="10" showAll="0"/>
    <pivotField showAll="0"/>
    <pivotField showAll="0"/>
  </pivotFields>
  <rowFields count="1">
    <field x="2"/>
  </rowFields>
  <rowItems count="5">
    <i>
      <x/>
    </i>
    <i>
      <x v="1"/>
    </i>
    <i>
      <x v="2"/>
    </i>
    <i>
      <x v="3"/>
    </i>
    <i t="grand">
      <x/>
    </i>
  </rowItems>
  <colItems count="1">
    <i/>
  </colItems>
  <dataFields count="1">
    <dataField name="Sum of English" fld="6"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9EFD73-88EC-4DE6-8B79-1C26401888B5}"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L3:M8" firstHeaderRow="1" firstDataRow="1" firstDataCol="1"/>
  <pivotFields count="12">
    <pivotField showAll="0"/>
    <pivotField showAll="0"/>
    <pivotField axis="axisRow" showAll="0">
      <items count="5">
        <item x="0"/>
        <item x="1"/>
        <item x="2"/>
        <item x="3"/>
        <item t="default"/>
      </items>
    </pivotField>
    <pivotField showAll="0"/>
    <pivotField showAll="0"/>
    <pivotField showAll="0"/>
    <pivotField showAll="0"/>
    <pivotField dataField="1" showAll="0"/>
    <pivotField showAll="0"/>
    <pivotField numFmtId="10" showAll="0"/>
    <pivotField showAll="0"/>
    <pivotField showAll="0"/>
  </pivotFields>
  <rowFields count="1">
    <field x="2"/>
  </rowFields>
  <rowItems count="5">
    <i>
      <x/>
    </i>
    <i>
      <x v="1"/>
    </i>
    <i>
      <x v="2"/>
    </i>
    <i>
      <x v="3"/>
    </i>
    <i t="grand">
      <x/>
    </i>
  </rowItems>
  <colItems count="1">
    <i/>
  </colItems>
  <dataFields count="1">
    <dataField name="Sum of Engineering Graphics" fld="7" baseField="0" baseItem="0"/>
  </dataFields>
  <chartFormats count="2">
    <chartFormat chart="0"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EEA8A0-AB7F-456B-873D-C255CEBA7B23}"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H3:I8" firstHeaderRow="1" firstDataRow="1" firstDataCol="1"/>
  <pivotFields count="12">
    <pivotField showAll="0"/>
    <pivotField showAll="0"/>
    <pivotField axis="axisRow" showAll="0">
      <items count="5">
        <item x="0"/>
        <item x="1"/>
        <item x="2"/>
        <item x="3"/>
        <item t="default"/>
      </items>
    </pivotField>
    <pivotField showAll="0"/>
    <pivotField showAll="0"/>
    <pivotField dataField="1" showAll="0"/>
    <pivotField showAll="0"/>
    <pivotField showAll="0"/>
    <pivotField showAll="0"/>
    <pivotField numFmtId="10" showAll="0"/>
    <pivotField showAll="0"/>
    <pivotField showAll="0"/>
  </pivotFields>
  <rowFields count="1">
    <field x="2"/>
  </rowFields>
  <rowItems count="5">
    <i>
      <x/>
    </i>
    <i>
      <x v="1"/>
    </i>
    <i>
      <x v="2"/>
    </i>
    <i>
      <x v="3"/>
    </i>
    <i t="grand">
      <x/>
    </i>
  </rowItems>
  <colItems count="1">
    <i/>
  </colItems>
  <dataFields count="1">
    <dataField name="Sum of Physics"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F700E0-F39C-4940-B32D-EB4172705F66}"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D3:E8" firstHeaderRow="1" firstDataRow="1" firstDataCol="1"/>
  <pivotFields count="12">
    <pivotField showAll="0"/>
    <pivotField showAll="0"/>
    <pivotField axis="axisRow" showAll="0">
      <items count="5">
        <item x="0"/>
        <item x="1"/>
        <item x="2"/>
        <item x="3"/>
        <item t="default"/>
      </items>
    </pivotField>
    <pivotField showAll="0"/>
    <pivotField dataField="1" showAll="0"/>
    <pivotField showAll="0"/>
    <pivotField showAll="0"/>
    <pivotField showAll="0"/>
    <pivotField showAll="0"/>
    <pivotField numFmtId="10" showAll="0"/>
    <pivotField showAll="0"/>
    <pivotField showAll="0"/>
  </pivotFields>
  <rowFields count="1">
    <field x="2"/>
  </rowFields>
  <rowItems count="5">
    <i>
      <x/>
    </i>
    <i>
      <x v="1"/>
    </i>
    <i>
      <x v="2"/>
    </i>
    <i>
      <x v="3"/>
    </i>
    <i t="grand">
      <x/>
    </i>
  </rowItems>
  <colItems count="1">
    <i/>
  </colItems>
  <dataFields count="1">
    <dataField name="Sum of Python Programming" fld="4"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894611-3FC1-4BAF-979F-D53C14D3DE8B}"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2">
    <pivotField showAll="0"/>
    <pivotField showAll="0"/>
    <pivotField axis="axisRow" showAll="0">
      <items count="5">
        <item x="0"/>
        <item x="1"/>
        <item x="2"/>
        <item x="3"/>
        <item t="default"/>
      </items>
    </pivotField>
    <pivotField dataField="1" showAll="0"/>
    <pivotField showAll="0"/>
    <pivotField showAll="0"/>
    <pivotField showAll="0"/>
    <pivotField showAll="0"/>
    <pivotField showAll="0"/>
    <pivotField numFmtId="10" showAll="0"/>
    <pivotField showAll="0"/>
    <pivotField showAll="0"/>
  </pivotFields>
  <rowFields count="1">
    <field x="2"/>
  </rowFields>
  <rowItems count="5">
    <i>
      <x/>
    </i>
    <i>
      <x v="1"/>
    </i>
    <i>
      <x v="2"/>
    </i>
    <i>
      <x v="3"/>
    </i>
    <i t="grand">
      <x/>
    </i>
  </rowItems>
  <colItems count="1">
    <i/>
  </colItems>
  <dataFields count="1">
    <dataField name="Sum of Engineering Maths" fld="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1E92C79-1F5D-4189-BE3A-32E3DEB83361}" sourceName="Department">
  <pivotTables>
    <pivotTable tabId="2" name="PivotTable4"/>
    <pivotTable tabId="2" name="PivotTable1"/>
    <pivotTable tabId="2" name="PivotTable2"/>
    <pivotTable tabId="2" name="PivotTable3"/>
    <pivotTable tabId="2" name="PivotTable5"/>
  </pivotTables>
  <data>
    <tabular pivotCacheId="192908249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12D85AB-BC52-4691-9159-EA1099F164D7}" cache="Slicer_Department" caption="Depart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C4A12B6-4466-4652-8DCF-358B1FB2F15A}" cache="Slicer_Department" caption="Depart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09627-8814-4EEC-A026-A5DBA6054FB4}">
  <dimension ref="A3:M16"/>
  <sheetViews>
    <sheetView tabSelected="1" topLeftCell="A15" zoomScale="45" workbookViewId="0">
      <selection activeCell="K48" sqref="K47:K48"/>
    </sheetView>
  </sheetViews>
  <sheetFormatPr defaultRowHeight="14.4" x14ac:dyDescent="0.3"/>
  <cols>
    <col min="1" max="2" width="19.88671875" bestFit="1" customWidth="1"/>
    <col min="3" max="3" width="18.88671875" bestFit="1" customWidth="1"/>
    <col min="4" max="4" width="19.88671875" bestFit="1" customWidth="1"/>
    <col min="5" max="5" width="34.44140625" bestFit="1" customWidth="1"/>
    <col min="8" max="8" width="19.88671875" bestFit="1" customWidth="1"/>
    <col min="9" max="9" width="19.109375" bestFit="1" customWidth="1"/>
    <col min="12" max="12" width="19.88671875" bestFit="1" customWidth="1"/>
    <col min="13" max="13" width="35.21875" bestFit="1" customWidth="1"/>
    <col min="14" max="14" width="25.44140625" bestFit="1" customWidth="1"/>
  </cols>
  <sheetData>
    <row r="3" spans="1:13" x14ac:dyDescent="0.3">
      <c r="A3" s="2" t="s">
        <v>39</v>
      </c>
      <c r="B3" t="s">
        <v>41</v>
      </c>
      <c r="D3" s="2" t="s">
        <v>39</v>
      </c>
      <c r="E3" t="s">
        <v>42</v>
      </c>
      <c r="H3" s="2" t="s">
        <v>39</v>
      </c>
      <c r="I3" t="s">
        <v>43</v>
      </c>
      <c r="L3" s="2" t="s">
        <v>39</v>
      </c>
      <c r="M3" t="s">
        <v>45</v>
      </c>
    </row>
    <row r="4" spans="1:13" x14ac:dyDescent="0.3">
      <c r="A4" s="3" t="s">
        <v>12</v>
      </c>
      <c r="B4" s="4">
        <v>429</v>
      </c>
      <c r="D4" s="3" t="s">
        <v>12</v>
      </c>
      <c r="E4" s="4">
        <v>429</v>
      </c>
      <c r="H4" s="3" t="s">
        <v>12</v>
      </c>
      <c r="I4" s="4">
        <v>430</v>
      </c>
      <c r="L4" s="3" t="s">
        <v>12</v>
      </c>
      <c r="M4" s="4">
        <v>431</v>
      </c>
    </row>
    <row r="5" spans="1:13" x14ac:dyDescent="0.3">
      <c r="A5" s="3" t="s">
        <v>15</v>
      </c>
      <c r="B5" s="4">
        <v>368</v>
      </c>
      <c r="D5" s="3" t="s">
        <v>15</v>
      </c>
      <c r="E5" s="4">
        <v>374</v>
      </c>
      <c r="H5" s="3" t="s">
        <v>15</v>
      </c>
      <c r="I5" s="4">
        <v>389</v>
      </c>
      <c r="L5" s="3" t="s">
        <v>15</v>
      </c>
      <c r="M5" s="4">
        <v>401</v>
      </c>
    </row>
    <row r="6" spans="1:13" x14ac:dyDescent="0.3">
      <c r="A6" s="3" t="s">
        <v>17</v>
      </c>
      <c r="B6" s="4">
        <v>462</v>
      </c>
      <c r="D6" s="3" t="s">
        <v>17</v>
      </c>
      <c r="E6" s="4">
        <v>448</v>
      </c>
      <c r="H6" s="3" t="s">
        <v>17</v>
      </c>
      <c r="I6" s="4">
        <v>446</v>
      </c>
      <c r="L6" s="3" t="s">
        <v>17</v>
      </c>
      <c r="M6" s="4">
        <v>443</v>
      </c>
    </row>
    <row r="7" spans="1:13" x14ac:dyDescent="0.3">
      <c r="A7" s="3" t="s">
        <v>19</v>
      </c>
      <c r="B7" s="4">
        <v>354</v>
      </c>
      <c r="D7" s="3" t="s">
        <v>19</v>
      </c>
      <c r="E7" s="4">
        <v>373</v>
      </c>
      <c r="H7" s="3" t="s">
        <v>19</v>
      </c>
      <c r="I7" s="4">
        <v>391</v>
      </c>
      <c r="L7" s="3" t="s">
        <v>19</v>
      </c>
      <c r="M7" s="4">
        <v>380</v>
      </c>
    </row>
    <row r="8" spans="1:13" x14ac:dyDescent="0.3">
      <c r="A8" s="3" t="s">
        <v>40</v>
      </c>
      <c r="B8" s="4">
        <v>1613</v>
      </c>
      <c r="D8" s="3" t="s">
        <v>40</v>
      </c>
      <c r="E8" s="4">
        <v>1624</v>
      </c>
      <c r="H8" s="3" t="s">
        <v>40</v>
      </c>
      <c r="I8" s="4">
        <v>1656</v>
      </c>
      <c r="L8" s="3" t="s">
        <v>40</v>
      </c>
      <c r="M8" s="4">
        <v>1655</v>
      </c>
    </row>
    <row r="11" spans="1:13" x14ac:dyDescent="0.3">
      <c r="B11" s="2" t="s">
        <v>39</v>
      </c>
      <c r="C11" t="s">
        <v>44</v>
      </c>
    </row>
    <row r="12" spans="1:13" x14ac:dyDescent="0.3">
      <c r="B12" s="3" t="s">
        <v>12</v>
      </c>
      <c r="C12" s="4">
        <v>425</v>
      </c>
    </row>
    <row r="13" spans="1:13" x14ac:dyDescent="0.3">
      <c r="B13" s="3" t="s">
        <v>15</v>
      </c>
      <c r="C13" s="4">
        <v>414</v>
      </c>
    </row>
    <row r="14" spans="1:13" x14ac:dyDescent="0.3">
      <c r="B14" s="3" t="s">
        <v>17</v>
      </c>
      <c r="C14" s="4">
        <v>432</v>
      </c>
    </row>
    <row r="15" spans="1:13" x14ac:dyDescent="0.3">
      <c r="B15" s="3" t="s">
        <v>19</v>
      </c>
      <c r="C15" s="4">
        <v>367</v>
      </c>
    </row>
    <row r="16" spans="1:13" x14ac:dyDescent="0.3">
      <c r="B16" s="3" t="s">
        <v>40</v>
      </c>
      <c r="C16" s="4">
        <v>1638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8724C-4D35-408D-A2C9-7BA30980BCE9}">
  <dimension ref="A1:L21"/>
  <sheetViews>
    <sheetView workbookViewId="0">
      <selection activeCell="M2" sqref="M2"/>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38</v>
      </c>
    </row>
    <row r="2" spans="1:12" x14ac:dyDescent="0.3">
      <c r="A2">
        <v>1</v>
      </c>
      <c r="B2" t="s">
        <v>11</v>
      </c>
      <c r="C2" t="s">
        <v>12</v>
      </c>
      <c r="D2">
        <v>85</v>
      </c>
      <c r="E2">
        <v>78</v>
      </c>
      <c r="F2">
        <v>92</v>
      </c>
      <c r="G2">
        <v>81</v>
      </c>
      <c r="H2">
        <v>88</v>
      </c>
      <c r="I2">
        <v>416</v>
      </c>
      <c r="J2" s="1">
        <v>0.84799999999999998</v>
      </c>
      <c r="K2" t="s">
        <v>13</v>
      </c>
      <c r="L2">
        <f>AVERAGE(D2:H2)</f>
        <v>84.8</v>
      </c>
    </row>
    <row r="3" spans="1:12" x14ac:dyDescent="0.3">
      <c r="A3">
        <v>2</v>
      </c>
      <c r="B3" t="s">
        <v>14</v>
      </c>
      <c r="C3" t="s">
        <v>15</v>
      </c>
      <c r="D3">
        <v>76</v>
      </c>
      <c r="E3">
        <v>82</v>
      </c>
      <c r="F3">
        <v>79</v>
      </c>
      <c r="G3">
        <v>88</v>
      </c>
      <c r="H3">
        <v>91</v>
      </c>
      <c r="I3">
        <v>416</v>
      </c>
      <c r="J3" s="1">
        <v>0.83199999999999996</v>
      </c>
      <c r="K3" t="s">
        <v>13</v>
      </c>
      <c r="L3">
        <f t="shared" ref="L3:L21" si="0">AVERAGE(D3:H3)</f>
        <v>83.2</v>
      </c>
    </row>
    <row r="4" spans="1:12" x14ac:dyDescent="0.3">
      <c r="A4">
        <v>3</v>
      </c>
      <c r="B4" t="s">
        <v>16</v>
      </c>
      <c r="C4" t="s">
        <v>17</v>
      </c>
      <c r="D4">
        <v>90</v>
      </c>
      <c r="E4">
        <v>87</v>
      </c>
      <c r="F4">
        <v>84</v>
      </c>
      <c r="G4">
        <v>76</v>
      </c>
      <c r="H4">
        <v>89</v>
      </c>
      <c r="I4">
        <v>426</v>
      </c>
      <c r="J4" s="1">
        <v>0.85199999999999998</v>
      </c>
      <c r="K4" t="s">
        <v>13</v>
      </c>
      <c r="L4">
        <f t="shared" si="0"/>
        <v>85.2</v>
      </c>
    </row>
    <row r="5" spans="1:12" x14ac:dyDescent="0.3">
      <c r="A5">
        <v>4</v>
      </c>
      <c r="B5" t="s">
        <v>18</v>
      </c>
      <c r="C5" t="s">
        <v>19</v>
      </c>
      <c r="D5">
        <v>68</v>
      </c>
      <c r="E5">
        <v>74</v>
      </c>
      <c r="F5">
        <v>81</v>
      </c>
      <c r="G5">
        <v>77</v>
      </c>
      <c r="H5">
        <v>70</v>
      </c>
      <c r="I5">
        <v>370</v>
      </c>
      <c r="J5" s="1">
        <v>0.74</v>
      </c>
      <c r="K5" t="s">
        <v>20</v>
      </c>
      <c r="L5">
        <f t="shared" si="0"/>
        <v>74</v>
      </c>
    </row>
    <row r="6" spans="1:12" x14ac:dyDescent="0.3">
      <c r="A6">
        <v>5</v>
      </c>
      <c r="B6" t="s">
        <v>21</v>
      </c>
      <c r="C6" t="s">
        <v>12</v>
      </c>
      <c r="D6">
        <v>88</v>
      </c>
      <c r="E6">
        <v>91</v>
      </c>
      <c r="F6">
        <v>85</v>
      </c>
      <c r="G6">
        <v>79</v>
      </c>
      <c r="H6">
        <v>86</v>
      </c>
      <c r="I6">
        <v>429</v>
      </c>
      <c r="J6" s="1">
        <v>0.85799999999999998</v>
      </c>
      <c r="K6" t="s">
        <v>13</v>
      </c>
      <c r="L6">
        <f t="shared" si="0"/>
        <v>85.8</v>
      </c>
    </row>
    <row r="7" spans="1:12" x14ac:dyDescent="0.3">
      <c r="A7">
        <v>6</v>
      </c>
      <c r="B7" t="s">
        <v>22</v>
      </c>
      <c r="C7" t="s">
        <v>15</v>
      </c>
      <c r="D7">
        <v>72</v>
      </c>
      <c r="E7">
        <v>80</v>
      </c>
      <c r="F7">
        <v>76</v>
      </c>
      <c r="G7">
        <v>85</v>
      </c>
      <c r="H7">
        <v>78</v>
      </c>
      <c r="I7">
        <v>391</v>
      </c>
      <c r="J7" s="1">
        <v>0.78200000000000003</v>
      </c>
      <c r="K7" t="s">
        <v>20</v>
      </c>
      <c r="L7">
        <f t="shared" si="0"/>
        <v>78.2</v>
      </c>
    </row>
    <row r="8" spans="1:12" x14ac:dyDescent="0.3">
      <c r="A8">
        <v>7</v>
      </c>
      <c r="B8" t="s">
        <v>23</v>
      </c>
      <c r="C8" t="s">
        <v>17</v>
      </c>
      <c r="D8">
        <v>94</v>
      </c>
      <c r="E8">
        <v>89</v>
      </c>
      <c r="F8">
        <v>91</v>
      </c>
      <c r="G8">
        <v>87</v>
      </c>
      <c r="H8">
        <v>90</v>
      </c>
      <c r="I8">
        <v>451</v>
      </c>
      <c r="J8" s="1">
        <v>0.90200000000000002</v>
      </c>
      <c r="K8" t="s">
        <v>24</v>
      </c>
      <c r="L8">
        <f t="shared" si="0"/>
        <v>90.2</v>
      </c>
    </row>
    <row r="9" spans="1:12" x14ac:dyDescent="0.3">
      <c r="A9">
        <v>8</v>
      </c>
      <c r="B9" t="s">
        <v>25</v>
      </c>
      <c r="C9" t="s">
        <v>19</v>
      </c>
      <c r="D9">
        <v>65</v>
      </c>
      <c r="E9">
        <v>71</v>
      </c>
      <c r="F9">
        <v>68</v>
      </c>
      <c r="G9">
        <v>75</v>
      </c>
      <c r="H9">
        <v>73</v>
      </c>
      <c r="I9">
        <v>352</v>
      </c>
      <c r="J9" s="1">
        <v>0.70399999999999996</v>
      </c>
      <c r="K9" t="s">
        <v>20</v>
      </c>
      <c r="L9">
        <f t="shared" si="0"/>
        <v>70.400000000000006</v>
      </c>
    </row>
    <row r="10" spans="1:12" x14ac:dyDescent="0.3">
      <c r="A10">
        <v>9</v>
      </c>
      <c r="B10" t="s">
        <v>26</v>
      </c>
      <c r="C10" t="s">
        <v>12</v>
      </c>
      <c r="D10">
        <v>82</v>
      </c>
      <c r="E10">
        <v>86</v>
      </c>
      <c r="F10">
        <v>79</v>
      </c>
      <c r="G10">
        <v>91</v>
      </c>
      <c r="H10">
        <v>84</v>
      </c>
      <c r="I10">
        <v>422</v>
      </c>
      <c r="J10" s="1">
        <v>0.84399999999999997</v>
      </c>
      <c r="K10" t="s">
        <v>13</v>
      </c>
      <c r="L10">
        <f t="shared" si="0"/>
        <v>84.4</v>
      </c>
    </row>
    <row r="11" spans="1:12" x14ac:dyDescent="0.3">
      <c r="A11">
        <v>10</v>
      </c>
      <c r="B11" t="s">
        <v>27</v>
      </c>
      <c r="C11" t="s">
        <v>15</v>
      </c>
      <c r="D11">
        <v>77</v>
      </c>
      <c r="E11">
        <v>69</v>
      </c>
      <c r="F11">
        <v>83</v>
      </c>
      <c r="G11">
        <v>80</v>
      </c>
      <c r="H11">
        <v>75</v>
      </c>
      <c r="I11">
        <v>384</v>
      </c>
      <c r="J11" s="1">
        <v>0.76800000000000002</v>
      </c>
      <c r="K11" t="s">
        <v>20</v>
      </c>
      <c r="L11">
        <f t="shared" si="0"/>
        <v>76.8</v>
      </c>
    </row>
    <row r="12" spans="1:12" x14ac:dyDescent="0.3">
      <c r="A12">
        <v>11</v>
      </c>
      <c r="B12" t="s">
        <v>28</v>
      </c>
      <c r="C12" t="s">
        <v>17</v>
      </c>
      <c r="D12">
        <v>91</v>
      </c>
      <c r="E12">
        <v>93</v>
      </c>
      <c r="F12">
        <v>88</v>
      </c>
      <c r="G12">
        <v>85</v>
      </c>
      <c r="H12">
        <v>92</v>
      </c>
      <c r="I12">
        <v>449</v>
      </c>
      <c r="J12" s="1">
        <v>0.89800000000000002</v>
      </c>
      <c r="K12" t="s">
        <v>13</v>
      </c>
      <c r="L12">
        <f t="shared" si="0"/>
        <v>89.8</v>
      </c>
    </row>
    <row r="13" spans="1:12" x14ac:dyDescent="0.3">
      <c r="A13">
        <v>12</v>
      </c>
      <c r="B13" t="s">
        <v>29</v>
      </c>
      <c r="C13" t="s">
        <v>19</v>
      </c>
      <c r="D13">
        <v>73</v>
      </c>
      <c r="E13">
        <v>78</v>
      </c>
      <c r="F13">
        <v>81</v>
      </c>
      <c r="G13">
        <v>72</v>
      </c>
      <c r="H13">
        <v>79</v>
      </c>
      <c r="I13">
        <v>383</v>
      </c>
      <c r="J13" s="1">
        <v>0.76600000000000001</v>
      </c>
      <c r="K13" t="s">
        <v>20</v>
      </c>
      <c r="L13">
        <f t="shared" si="0"/>
        <v>76.599999999999994</v>
      </c>
    </row>
    <row r="14" spans="1:12" x14ac:dyDescent="0.3">
      <c r="A14">
        <v>13</v>
      </c>
      <c r="B14" t="s">
        <v>30</v>
      </c>
      <c r="C14" t="s">
        <v>12</v>
      </c>
      <c r="D14">
        <v>86</v>
      </c>
      <c r="E14">
        <v>84</v>
      </c>
      <c r="F14">
        <v>90</v>
      </c>
      <c r="G14">
        <v>88</v>
      </c>
      <c r="H14">
        <v>82</v>
      </c>
      <c r="I14">
        <v>430</v>
      </c>
      <c r="J14" s="1">
        <v>0.86</v>
      </c>
      <c r="K14" t="s">
        <v>13</v>
      </c>
      <c r="L14">
        <f t="shared" si="0"/>
        <v>86</v>
      </c>
    </row>
    <row r="15" spans="1:12" x14ac:dyDescent="0.3">
      <c r="A15">
        <v>14</v>
      </c>
      <c r="B15" t="s">
        <v>31</v>
      </c>
      <c r="C15" t="s">
        <v>15</v>
      </c>
      <c r="D15">
        <v>69</v>
      </c>
      <c r="E15">
        <v>75</v>
      </c>
      <c r="F15">
        <v>72</v>
      </c>
      <c r="G15">
        <v>78</v>
      </c>
      <c r="H15">
        <v>81</v>
      </c>
      <c r="I15">
        <v>375</v>
      </c>
      <c r="J15" s="1">
        <v>0.75</v>
      </c>
      <c r="K15" t="s">
        <v>20</v>
      </c>
      <c r="L15">
        <f t="shared" si="0"/>
        <v>75</v>
      </c>
    </row>
    <row r="16" spans="1:12" x14ac:dyDescent="0.3">
      <c r="A16">
        <v>15</v>
      </c>
      <c r="B16" t="s">
        <v>32</v>
      </c>
      <c r="C16" t="s">
        <v>17</v>
      </c>
      <c r="D16">
        <v>95</v>
      </c>
      <c r="E16">
        <v>91</v>
      </c>
      <c r="F16">
        <v>89</v>
      </c>
      <c r="G16">
        <v>94</v>
      </c>
      <c r="H16">
        <v>87</v>
      </c>
      <c r="I16">
        <v>456</v>
      </c>
      <c r="J16" s="1">
        <v>0.91200000000000003</v>
      </c>
      <c r="K16" t="s">
        <v>24</v>
      </c>
      <c r="L16">
        <f t="shared" si="0"/>
        <v>91.2</v>
      </c>
    </row>
    <row r="17" spans="1:12" x14ac:dyDescent="0.3">
      <c r="A17">
        <v>16</v>
      </c>
      <c r="B17" t="s">
        <v>33</v>
      </c>
      <c r="C17" t="s">
        <v>19</v>
      </c>
      <c r="D17">
        <v>81</v>
      </c>
      <c r="E17">
        <v>77</v>
      </c>
      <c r="F17">
        <v>85</v>
      </c>
      <c r="G17">
        <v>74</v>
      </c>
      <c r="H17">
        <v>80</v>
      </c>
      <c r="I17">
        <v>397</v>
      </c>
      <c r="J17" s="1">
        <v>0.79400000000000004</v>
      </c>
      <c r="K17" t="s">
        <v>20</v>
      </c>
      <c r="L17">
        <f t="shared" si="0"/>
        <v>79.400000000000006</v>
      </c>
    </row>
    <row r="18" spans="1:12" x14ac:dyDescent="0.3">
      <c r="A18">
        <v>17</v>
      </c>
      <c r="B18" t="s">
        <v>34</v>
      </c>
      <c r="C18" t="s">
        <v>12</v>
      </c>
      <c r="D18">
        <v>88</v>
      </c>
      <c r="E18">
        <v>90</v>
      </c>
      <c r="F18">
        <v>84</v>
      </c>
      <c r="G18">
        <v>86</v>
      </c>
      <c r="H18">
        <v>91</v>
      </c>
      <c r="I18">
        <v>439</v>
      </c>
      <c r="J18" s="1">
        <v>0.878</v>
      </c>
      <c r="K18" t="s">
        <v>13</v>
      </c>
      <c r="L18">
        <f t="shared" si="0"/>
        <v>87.8</v>
      </c>
    </row>
    <row r="19" spans="1:12" x14ac:dyDescent="0.3">
      <c r="A19">
        <v>18</v>
      </c>
      <c r="B19" t="s">
        <v>35</v>
      </c>
      <c r="C19" t="s">
        <v>15</v>
      </c>
      <c r="D19">
        <v>74</v>
      </c>
      <c r="E19">
        <v>68</v>
      </c>
      <c r="F19">
        <v>79</v>
      </c>
      <c r="G19">
        <v>83</v>
      </c>
      <c r="H19">
        <v>76</v>
      </c>
      <c r="I19">
        <v>380</v>
      </c>
      <c r="J19" s="1">
        <v>0.76</v>
      </c>
      <c r="K19" t="s">
        <v>20</v>
      </c>
      <c r="L19">
        <f t="shared" si="0"/>
        <v>76</v>
      </c>
    </row>
    <row r="20" spans="1:12" x14ac:dyDescent="0.3">
      <c r="A20">
        <v>19</v>
      </c>
      <c r="B20" t="s">
        <v>36</v>
      </c>
      <c r="C20" t="s">
        <v>17</v>
      </c>
      <c r="D20">
        <v>92</v>
      </c>
      <c r="E20">
        <v>88</v>
      </c>
      <c r="F20">
        <v>94</v>
      </c>
      <c r="G20">
        <v>90</v>
      </c>
      <c r="H20">
        <v>85</v>
      </c>
      <c r="I20">
        <v>449</v>
      </c>
      <c r="J20" s="1">
        <v>0.89800000000000002</v>
      </c>
      <c r="K20" t="s">
        <v>13</v>
      </c>
      <c r="L20">
        <f t="shared" si="0"/>
        <v>89.8</v>
      </c>
    </row>
    <row r="21" spans="1:12" x14ac:dyDescent="0.3">
      <c r="A21">
        <v>20</v>
      </c>
      <c r="B21" t="s">
        <v>37</v>
      </c>
      <c r="C21" t="s">
        <v>19</v>
      </c>
      <c r="D21">
        <v>67</v>
      </c>
      <c r="E21">
        <v>73</v>
      </c>
      <c r="F21">
        <v>76</v>
      </c>
      <c r="G21">
        <v>69</v>
      </c>
      <c r="H21">
        <v>78</v>
      </c>
      <c r="I21">
        <v>363</v>
      </c>
      <c r="J21" s="1">
        <v>0.72599999999999998</v>
      </c>
      <c r="K21" t="s">
        <v>20</v>
      </c>
      <c r="L21">
        <f t="shared" si="0"/>
        <v>72.599999999999994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2026-09-11T15:24:42Z</dcterms:created>
  <dcterms:modified xsi:type="dcterms:W3CDTF">2026-09-11T15:34:18Z</dcterms:modified>
</cp:coreProperties>
</file>